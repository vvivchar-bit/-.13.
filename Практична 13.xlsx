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 vadim\Don\"/>
    </mc:Choice>
  </mc:AlternateContent>
  <xr:revisionPtr revIDLastSave="0" documentId="13_ncr:1_{6FB590D5-12FF-458D-8424-F9DF2CD7FA9F}" xr6:coauthVersionLast="47" xr6:coauthVersionMax="47" xr10:uidLastSave="{00000000-0000-0000-0000-000000000000}"/>
  <bookViews>
    <workbookView xWindow="3030" yWindow="3030" windowWidth="28800" windowHeight="17445" activeTab="3" xr2:uid="{00000000-000D-0000-FFFF-FFFF00000000}"/>
  </bookViews>
  <sheets>
    <sheet name="Дано" sheetId="1" r:id="rId1"/>
    <sheet name="Задача 2.3" sheetId="2" r:id="rId2"/>
    <sheet name="Задача 3.2" sheetId="3" r:id="rId3"/>
    <sheet name="Задача 4.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F5" i="2"/>
  <c r="F4" i="2"/>
  <c r="B6" i="4"/>
  <c r="B12" i="4" s="1"/>
  <c r="B7" i="4"/>
  <c r="B5" i="4"/>
  <c r="B4" i="4"/>
  <c r="E18" i="3"/>
  <c r="C18" i="3"/>
  <c r="B18" i="3"/>
  <c r="A18" i="3"/>
  <c r="E17" i="3"/>
  <c r="C17" i="3"/>
  <c r="B17" i="3"/>
  <c r="D17" i="3" s="1"/>
  <c r="A17" i="3"/>
  <c r="E16" i="3"/>
  <c r="C16" i="3"/>
  <c r="B16" i="3"/>
  <c r="A16" i="3"/>
  <c r="E15" i="3"/>
  <c r="C15" i="3"/>
  <c r="B15" i="3"/>
  <c r="A15" i="3"/>
  <c r="E14" i="3"/>
  <c r="C14" i="3"/>
  <c r="B14" i="3"/>
  <c r="A14" i="3"/>
  <c r="E13" i="3"/>
  <c r="C13" i="3"/>
  <c r="B13" i="3"/>
  <c r="A13" i="3"/>
  <c r="B9" i="3"/>
  <c r="A9" i="3"/>
  <c r="B8" i="3"/>
  <c r="A8" i="3"/>
  <c r="B7" i="3"/>
  <c r="A7" i="3"/>
  <c r="B6" i="3"/>
  <c r="A6" i="3"/>
  <c r="B5" i="3"/>
  <c r="A5" i="3"/>
  <c r="B4" i="3"/>
  <c r="A4" i="3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14" i="3" l="1"/>
  <c r="D15" i="3"/>
  <c r="F15" i="3" s="1"/>
  <c r="D10" i="2"/>
  <c r="E7" i="2" s="1"/>
  <c r="G7" i="2" s="1"/>
  <c r="D18" i="3"/>
  <c r="D13" i="3"/>
  <c r="F13" i="3" s="1"/>
  <c r="D16" i="3"/>
  <c r="G16" i="3" s="1"/>
  <c r="H16" i="3" s="1"/>
  <c r="E19" i="3"/>
  <c r="B22" i="3" s="1"/>
  <c r="F14" i="3"/>
  <c r="G14" i="3"/>
  <c r="H14" i="3" s="1"/>
  <c r="G18" i="3"/>
  <c r="H18" i="3" s="1"/>
  <c r="F18" i="3"/>
  <c r="F17" i="3"/>
  <c r="G17" i="3"/>
  <c r="H17" i="3" s="1"/>
  <c r="G15" i="3"/>
  <c r="H15" i="3" s="1"/>
  <c r="B13" i="4"/>
  <c r="B15" i="4" s="1"/>
  <c r="B13" i="2"/>
  <c r="E5" i="2"/>
  <c r="G5" i="2" s="1"/>
  <c r="F16" i="3" l="1"/>
  <c r="F19" i="3" s="1"/>
  <c r="B23" i="3" s="1"/>
  <c r="G13" i="3"/>
  <c r="H13" i="3" s="1"/>
  <c r="E8" i="2"/>
  <c r="G8" i="2" s="1"/>
  <c r="E6" i="2"/>
  <c r="G6" i="2" s="1"/>
  <c r="E4" i="2"/>
  <c r="G4" i="2" s="1"/>
  <c r="E9" i="2"/>
  <c r="G9" i="2" s="1"/>
  <c r="B14" i="4"/>
  <c r="H19" i="3"/>
  <c r="B14" i="2"/>
  <c r="B24" i="3" l="1"/>
</calcChain>
</file>

<file path=xl/sharedStrings.xml><?xml version="1.0" encoding="utf-8"?>
<sst xmlns="http://schemas.openxmlformats.org/spreadsheetml/2006/main" count="85" uniqueCount="58">
  <si>
    <t>Вхідні дані для ЛПР13, варіант 3</t>
  </si>
  <si>
    <t>Параметр</t>
  </si>
  <si>
    <t>Значення</t>
  </si>
  <si>
    <t>Варіант</t>
  </si>
  <si>
    <t>3</t>
  </si>
  <si>
    <t>Задача 2</t>
  </si>
  <si>
    <t>2.3</t>
  </si>
  <si>
    <t>Задача 4</t>
  </si>
  <si>
    <t>4.3</t>
  </si>
  <si>
    <t>Інтервал</t>
  </si>
  <si>
    <t>Ліва межа</t>
  </si>
  <si>
    <t>Права межа</t>
  </si>
  <si>
    <t>Частота ni</t>
  </si>
  <si>
    <t>4–6</t>
  </si>
  <si>
    <t>6–8</t>
  </si>
  <si>
    <t>8–10</t>
  </si>
  <si>
    <t>10–12</t>
  </si>
  <si>
    <t>12–14</t>
  </si>
  <si>
    <t>14–16</t>
  </si>
  <si>
    <t>Дані задачі 4.3</t>
  </si>
  <si>
    <t>σ</t>
  </si>
  <si>
    <t>x̄</t>
  </si>
  <si>
    <t>n</t>
  </si>
  <si>
    <t>γ</t>
  </si>
  <si>
    <t>Задача 2.3 — гістограма відносних частот</t>
  </si>
  <si>
    <t>ni</t>
  </si>
  <si>
    <t>pi = ni/n</t>
  </si>
  <si>
    <t>f* = pi/h</t>
  </si>
  <si>
    <t>Σ</t>
  </si>
  <si>
    <t>Підсумок</t>
  </si>
  <si>
    <t>Сума pi</t>
  </si>
  <si>
    <t>Задача 3.2 — вибіркове середнє та дисперсія за рядом 2.3</t>
  </si>
  <si>
    <t>Звідки взято</t>
  </si>
  <si>
    <t>Задача 2.3</t>
  </si>
  <si>
    <t>xi</t>
  </si>
  <si>
    <t>ni·xi</t>
  </si>
  <si>
    <t>xi²</t>
  </si>
  <si>
    <t>ni·xi²</t>
  </si>
  <si>
    <t>Показник</t>
  </si>
  <si>
    <t>Dв</t>
  </si>
  <si>
    <t>Висновок</t>
  </si>
  <si>
    <t>За інтервальним рядом 2.3 отримано: x̄ = 9,4; Dв = 7,04.</t>
  </si>
  <si>
    <t>Задача 4.3 — надійний інтервал для математичного сподівання</t>
  </si>
  <si>
    <t>Дано</t>
  </si>
  <si>
    <t>Проміжний результат</t>
  </si>
  <si>
    <t>zγ для γ = 0,99</t>
  </si>
  <si>
    <t>√n</t>
  </si>
  <si>
    <t>Δ = zγ·σ/√n</t>
  </si>
  <si>
    <t>Нижня межа</t>
  </si>
  <si>
    <t>Верхня межа</t>
  </si>
  <si>
    <t>Розрахунок</t>
  </si>
  <si>
    <t>Δ = 2,576 · 4,5 / √100 = 1,1592</t>
  </si>
  <si>
    <t>a ∈ (15,6 − 1,1592; 15,6 + 1,1592)</t>
  </si>
  <si>
    <t>a ∈ (14,4408; 16,7592)</t>
  </si>
  <si>
    <t>Відповідь</t>
  </si>
  <si>
    <t>Надійний інтервал: a ∈ (14,4408; 16,7592).</t>
  </si>
  <si>
    <t>Задача 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</si>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</sst>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Гістограма відносних частот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f*</c:v>
          </c:tx>
          <c:spPr>
            <a:solidFill>
              <a:srgbClr val="70AD47"/>
            </a:solidFill>
          </c:spPr>
          <c:invertIfNegative val="0"/>
          <c:cat>
            <c:strRef>
              <c:f>'Задача 2.3'!$A$4:$A$9</c:f>
              <c:strCache>
                <c:ptCount val="6"/>
                <c:pt idx="0">
                  <c:v>4–6</c:v>
                </c:pt>
                <c:pt idx="1">
                  <c:v>6–8</c:v>
                </c:pt>
                <c:pt idx="2">
                  <c:v>8–10</c:v>
                </c:pt>
                <c:pt idx="3">
                  <c:v>10–12</c:v>
                </c:pt>
                <c:pt idx="4">
                  <c:v>12–14</c:v>
                </c:pt>
                <c:pt idx="5">
                  <c:v>14–16</c:v>
                </c:pt>
              </c:strCache>
            </c:strRef>
          </c:cat>
          <c:val>
            <c:numRef>
              <c:f>'Задача 2.3'!$G$4:$G$9</c:f>
              <c:numCache>
                <c:formatCode>0.0000</c:formatCode>
                <c:ptCount val="6"/>
                <c:pt idx="0">
                  <c:v>0.04</c:v>
                </c:pt>
                <c:pt idx="1">
                  <c:v>0.125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E-4F43-B414-3ACA5A56C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Інтервали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f*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Частоти інтервального ряду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</c:v>
          </c:tx>
          <c:spPr>
            <a:solidFill>
              <a:srgbClr val="5B9BD5"/>
            </a:solidFill>
          </c:spPr>
          <c:invertIfNegative val="0"/>
          <c:cat>
            <c:strRef>
              <c:f>'Задача 3.2'!$A$13:$A$18</c:f>
              <c:strCache>
                <c:ptCount val="6"/>
                <c:pt idx="0">
                  <c:v>4–6</c:v>
                </c:pt>
                <c:pt idx="1">
                  <c:v>6–8</c:v>
                </c:pt>
                <c:pt idx="2">
                  <c:v>8–10</c:v>
                </c:pt>
                <c:pt idx="3">
                  <c:v>10–12</c:v>
                </c:pt>
                <c:pt idx="4">
                  <c:v>12–14</c:v>
                </c:pt>
                <c:pt idx="5">
                  <c:v>14–16</c:v>
                </c:pt>
              </c:strCache>
            </c:strRef>
          </c:cat>
          <c:val>
            <c:numRef>
              <c:f>'Задача 3.2'!$E$13:$E$18</c:f>
              <c:numCache>
                <c:formatCode>0.0000</c:formatCode>
                <c:ptCount val="6"/>
                <c:pt idx="0">
                  <c:v>8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A-47EC-93D8-FD3ADACD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Інтервали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476250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15</xdr:col>
      <xdr:colOff>628650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D10" sqref="D10"/>
    </sheetView>
  </sheetViews>
  <sheetFormatPr defaultRowHeight="15" x14ac:dyDescent="0.25"/>
  <cols>
    <col min="1" max="1" width="16.7109375" customWidth="1"/>
    <col min="2" max="4" width="12.7109375" customWidth="1"/>
    <col min="6" max="6" width="18.7109375" customWidth="1"/>
    <col min="7" max="7" width="14.7109375" customWidth="1"/>
  </cols>
  <sheetData>
    <row r="1" spans="1:7" ht="18.75" x14ac:dyDescent="0.25">
      <c r="A1" s="9" t="s">
        <v>0</v>
      </c>
      <c r="B1" s="9"/>
      <c r="C1" s="9"/>
      <c r="D1" s="9"/>
      <c r="E1" s="9"/>
      <c r="F1" s="9"/>
      <c r="G1" s="9"/>
    </row>
    <row r="3" spans="1:7" x14ac:dyDescent="0.25">
      <c r="A3" s="1" t="s">
        <v>1</v>
      </c>
      <c r="B3" s="1" t="s">
        <v>2</v>
      </c>
    </row>
    <row r="4" spans="1:7" x14ac:dyDescent="0.25">
      <c r="A4" s="2" t="s">
        <v>3</v>
      </c>
      <c r="B4" s="2" t="s">
        <v>4</v>
      </c>
    </row>
    <row r="5" spans="1:7" x14ac:dyDescent="0.25">
      <c r="A5" s="2" t="s">
        <v>5</v>
      </c>
      <c r="B5" s="2" t="s">
        <v>6</v>
      </c>
    </row>
    <row r="6" spans="1:7" x14ac:dyDescent="0.25">
      <c r="A6" s="2" t="s">
        <v>56</v>
      </c>
      <c r="B6" s="2">
        <v>3.2</v>
      </c>
    </row>
    <row r="7" spans="1:7" x14ac:dyDescent="0.25">
      <c r="A7" s="2" t="s">
        <v>7</v>
      </c>
      <c r="B7" s="2" t="s">
        <v>8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F9" s="1" t="s">
        <v>19</v>
      </c>
      <c r="G9" s="1" t="s">
        <v>2</v>
      </c>
    </row>
    <row r="10" spans="1:7" x14ac:dyDescent="0.25">
      <c r="A10" s="2" t="s">
        <v>13</v>
      </c>
      <c r="B10" s="3">
        <v>4</v>
      </c>
      <c r="C10" s="3">
        <v>6</v>
      </c>
      <c r="D10" s="3">
        <v>8</v>
      </c>
      <c r="F10" s="2" t="s">
        <v>20</v>
      </c>
      <c r="G10" s="3">
        <v>4.5</v>
      </c>
    </row>
    <row r="11" spans="1:7" x14ac:dyDescent="0.25">
      <c r="A11" s="2" t="s">
        <v>14</v>
      </c>
      <c r="B11" s="3">
        <v>6</v>
      </c>
      <c r="C11" s="3">
        <v>8</v>
      </c>
      <c r="D11" s="3">
        <v>25</v>
      </c>
      <c r="F11" s="2" t="s">
        <v>21</v>
      </c>
      <c r="G11" s="3">
        <v>15.6</v>
      </c>
    </row>
    <row r="12" spans="1:7" x14ac:dyDescent="0.25">
      <c r="A12" s="2" t="s">
        <v>15</v>
      </c>
      <c r="B12" s="3">
        <v>8</v>
      </c>
      <c r="C12" s="3">
        <v>10</v>
      </c>
      <c r="D12" s="3">
        <v>30</v>
      </c>
      <c r="F12" s="2" t="s">
        <v>22</v>
      </c>
      <c r="G12" s="3">
        <v>100</v>
      </c>
    </row>
    <row r="13" spans="1:7" x14ac:dyDescent="0.25">
      <c r="A13" s="2" t="s">
        <v>16</v>
      </c>
      <c r="B13" s="3">
        <v>10</v>
      </c>
      <c r="C13" s="3">
        <v>12</v>
      </c>
      <c r="D13" s="3">
        <v>20</v>
      </c>
      <c r="F13" s="2" t="s">
        <v>23</v>
      </c>
      <c r="G13" s="3">
        <v>0.99</v>
      </c>
    </row>
    <row r="14" spans="1:7" x14ac:dyDescent="0.25">
      <c r="A14" s="2" t="s">
        <v>17</v>
      </c>
      <c r="B14" s="3">
        <v>12</v>
      </c>
      <c r="C14" s="3">
        <v>14</v>
      </c>
      <c r="D14" s="3">
        <v>10</v>
      </c>
    </row>
    <row r="15" spans="1:7" x14ac:dyDescent="0.25">
      <c r="A15" s="2" t="s">
        <v>18</v>
      </c>
      <c r="B15" s="3">
        <v>14</v>
      </c>
      <c r="C15" s="3">
        <v>16</v>
      </c>
      <c r="D15" s="3">
        <v>7</v>
      </c>
    </row>
    <row r="17" spans="1:2" x14ac:dyDescent="0.25">
      <c r="A17" s="4"/>
      <c r="B17" s="4"/>
    </row>
    <row r="18" spans="1:2" x14ac:dyDescent="0.25">
      <c r="B18" s="4"/>
    </row>
    <row r="19" spans="1:2" x14ac:dyDescent="0.25">
      <c r="B19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G4" sqref="G4"/>
    </sheetView>
  </sheetViews>
  <sheetFormatPr defaultRowHeight="15" x14ac:dyDescent="0.25"/>
  <cols>
    <col min="1" max="1" width="15.7109375" customWidth="1"/>
    <col min="2" max="7" width="12.7109375" customWidth="1"/>
    <col min="9" max="17" width="11.7109375" customWidth="1"/>
  </cols>
  <sheetData>
    <row r="1" spans="1:7" ht="18.75" x14ac:dyDescent="0.25">
      <c r="A1" s="9" t="s">
        <v>24</v>
      </c>
      <c r="B1" s="9"/>
      <c r="C1" s="9"/>
      <c r="D1" s="9"/>
      <c r="E1" s="9"/>
      <c r="F1" s="9"/>
      <c r="G1" s="9"/>
    </row>
    <row r="3" spans="1:7" x14ac:dyDescent="0.25">
      <c r="A3" s="5" t="s">
        <v>9</v>
      </c>
      <c r="B3" s="5" t="s">
        <v>10</v>
      </c>
      <c r="C3" s="5" t="s">
        <v>11</v>
      </c>
      <c r="D3" s="5" t="s">
        <v>25</v>
      </c>
      <c r="E3" s="5" t="s">
        <v>26</v>
      </c>
      <c r="F3" s="8" t="s">
        <v>57</v>
      </c>
      <c r="G3" s="5" t="s">
        <v>27</v>
      </c>
    </row>
    <row r="4" spans="1:7" x14ac:dyDescent="0.25">
      <c r="A4" s="6" t="str">
        <f>Дано!A10</f>
        <v>4–6</v>
      </c>
      <c r="B4" s="7">
        <f>Дано!B10</f>
        <v>4</v>
      </c>
      <c r="C4" s="7">
        <f>Дано!C10</f>
        <v>6</v>
      </c>
      <c r="D4" s="7">
        <f>Дано!D10</f>
        <v>8</v>
      </c>
      <c r="E4" s="7">
        <f t="shared" ref="E4:E9" si="0">D4/$D$10</f>
        <v>0.08</v>
      </c>
      <c r="F4" s="7">
        <f>C4-B4</f>
        <v>2</v>
      </c>
      <c r="G4" s="7">
        <f>E4/(C4-B4)</f>
        <v>0.04</v>
      </c>
    </row>
    <row r="5" spans="1:7" x14ac:dyDescent="0.25">
      <c r="A5" s="6" t="str">
        <f>Дано!A11</f>
        <v>6–8</v>
      </c>
      <c r="B5" s="7">
        <f>Дано!B11</f>
        <v>6</v>
      </c>
      <c r="C5" s="7">
        <f>Дано!C11</f>
        <v>8</v>
      </c>
      <c r="D5" s="7">
        <f>Дано!D11</f>
        <v>25</v>
      </c>
      <c r="E5" s="7">
        <f t="shared" si="0"/>
        <v>0.25</v>
      </c>
      <c r="F5" s="7">
        <f>C5-B5</f>
        <v>2</v>
      </c>
      <c r="G5" s="7">
        <f>E5/(C5-B5)</f>
        <v>0.125</v>
      </c>
    </row>
    <row r="6" spans="1:7" x14ac:dyDescent="0.25">
      <c r="A6" s="6" t="str">
        <f>Дано!A12</f>
        <v>8–10</v>
      </c>
      <c r="B6" s="7">
        <f>Дано!B12</f>
        <v>8</v>
      </c>
      <c r="C6" s="7">
        <f>Дано!C12</f>
        <v>10</v>
      </c>
      <c r="D6" s="7">
        <f>Дано!D12</f>
        <v>30</v>
      </c>
      <c r="E6" s="7">
        <f t="shared" si="0"/>
        <v>0.3</v>
      </c>
      <c r="F6" s="7">
        <f>C6-B6</f>
        <v>2</v>
      </c>
      <c r="G6" s="7">
        <f>E6/(C6-B6)</f>
        <v>0.15</v>
      </c>
    </row>
    <row r="7" spans="1:7" x14ac:dyDescent="0.25">
      <c r="A7" s="6" t="str">
        <f>Дано!A13</f>
        <v>10–12</v>
      </c>
      <c r="B7" s="7">
        <f>Дано!B13</f>
        <v>10</v>
      </c>
      <c r="C7" s="7">
        <f>Дано!C13</f>
        <v>12</v>
      </c>
      <c r="D7" s="7">
        <f>Дано!D13</f>
        <v>20</v>
      </c>
      <c r="E7" s="7">
        <f t="shared" si="0"/>
        <v>0.2</v>
      </c>
      <c r="F7" s="7">
        <f>C7-B7</f>
        <v>2</v>
      </c>
      <c r="G7" s="7">
        <f>E7/(C7-B7)</f>
        <v>0.1</v>
      </c>
    </row>
    <row r="8" spans="1:7" x14ac:dyDescent="0.25">
      <c r="A8" s="6" t="str">
        <f>Дано!A14</f>
        <v>12–14</v>
      </c>
      <c r="B8" s="7">
        <f>Дано!B14</f>
        <v>12</v>
      </c>
      <c r="C8" s="7">
        <f>Дано!C14</f>
        <v>14</v>
      </c>
      <c r="D8" s="7">
        <f>Дано!D14</f>
        <v>10</v>
      </c>
      <c r="E8" s="7">
        <f t="shared" si="0"/>
        <v>0.1</v>
      </c>
      <c r="F8" s="7">
        <f>C8-B8</f>
        <v>2</v>
      </c>
      <c r="G8" s="7">
        <f>E8/(C8-B8)</f>
        <v>0.05</v>
      </c>
    </row>
    <row r="9" spans="1:7" x14ac:dyDescent="0.25">
      <c r="A9" s="6" t="str">
        <f>Дано!A15</f>
        <v>14–16</v>
      </c>
      <c r="B9" s="7">
        <f>Дано!B15</f>
        <v>14</v>
      </c>
      <c r="C9" s="7">
        <f>Дано!C15</f>
        <v>16</v>
      </c>
      <c r="D9" s="7">
        <f>Дано!D15</f>
        <v>7</v>
      </c>
      <c r="E9" s="7">
        <f t="shared" si="0"/>
        <v>7.0000000000000007E-2</v>
      </c>
      <c r="F9" s="7">
        <f>C9-B9</f>
        <v>2</v>
      </c>
      <c r="G9" s="7">
        <f>E9/(C9-B9)</f>
        <v>3.5000000000000003E-2</v>
      </c>
    </row>
    <row r="10" spans="1:7" x14ac:dyDescent="0.25">
      <c r="A10" s="6" t="s">
        <v>28</v>
      </c>
      <c r="B10" s="6"/>
      <c r="C10" s="6"/>
      <c r="D10" s="7">
        <f>SUM(D4:D9)</f>
        <v>100</v>
      </c>
      <c r="E10" s="7">
        <v>1</v>
      </c>
      <c r="F10" s="7"/>
      <c r="G10" s="6"/>
    </row>
    <row r="12" spans="1:7" x14ac:dyDescent="0.25">
      <c r="A12" s="5" t="s">
        <v>29</v>
      </c>
      <c r="B12" s="5" t="s">
        <v>2</v>
      </c>
    </row>
    <row r="13" spans="1:7" x14ac:dyDescent="0.25">
      <c r="A13" s="6" t="s">
        <v>22</v>
      </c>
      <c r="B13" s="7">
        <f>D10</f>
        <v>100</v>
      </c>
    </row>
    <row r="14" spans="1:7" x14ac:dyDescent="0.25">
      <c r="A14" s="6" t="s">
        <v>30</v>
      </c>
      <c r="B14" s="7">
        <f>E10</f>
        <v>1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E33" sqref="E33"/>
    </sheetView>
  </sheetViews>
  <sheetFormatPr defaultRowHeight="15" x14ac:dyDescent="0.25"/>
  <cols>
    <col min="1" max="1" width="15.7109375" customWidth="1"/>
    <col min="2" max="2" width="10.7109375" customWidth="1"/>
    <col min="3" max="3" width="14.85546875" customWidth="1"/>
    <col min="4" max="4" width="18.7109375" customWidth="1"/>
    <col min="5" max="8" width="12.7109375" customWidth="1"/>
    <col min="10" max="16" width="12.7109375" customWidth="1"/>
  </cols>
  <sheetData>
    <row r="1" spans="1:8" ht="18.75" x14ac:dyDescent="0.25">
      <c r="A1" s="9" t="s">
        <v>31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9</v>
      </c>
      <c r="B3" s="1" t="s">
        <v>25</v>
      </c>
      <c r="C3" s="1" t="s">
        <v>32</v>
      </c>
    </row>
    <row r="4" spans="1:8" x14ac:dyDescent="0.25">
      <c r="A4" s="2" t="str">
        <f>Дано!A10</f>
        <v>4–6</v>
      </c>
      <c r="B4" s="3">
        <f>Дано!D10</f>
        <v>8</v>
      </c>
      <c r="C4" s="2" t="s">
        <v>33</v>
      </c>
    </row>
    <row r="5" spans="1:8" x14ac:dyDescent="0.25">
      <c r="A5" s="2" t="str">
        <f>Дано!A11</f>
        <v>6–8</v>
      </c>
      <c r="B5" s="3">
        <f>Дано!D11</f>
        <v>25</v>
      </c>
      <c r="C5" s="2" t="s">
        <v>33</v>
      </c>
    </row>
    <row r="6" spans="1:8" x14ac:dyDescent="0.25">
      <c r="A6" s="2" t="str">
        <f>Дано!A12</f>
        <v>8–10</v>
      </c>
      <c r="B6" s="3">
        <f>Дано!D12</f>
        <v>30</v>
      </c>
      <c r="C6" s="2" t="s">
        <v>33</v>
      </c>
    </row>
    <row r="7" spans="1:8" x14ac:dyDescent="0.25">
      <c r="A7" s="2" t="str">
        <f>Дано!A13</f>
        <v>10–12</v>
      </c>
      <c r="B7" s="3">
        <f>Дано!D13</f>
        <v>20</v>
      </c>
      <c r="C7" s="2" t="s">
        <v>33</v>
      </c>
    </row>
    <row r="8" spans="1:8" x14ac:dyDescent="0.25">
      <c r="A8" s="2" t="str">
        <f>Дано!A14</f>
        <v>12–14</v>
      </c>
      <c r="B8" s="3">
        <f>Дано!D14</f>
        <v>10</v>
      </c>
      <c r="C8" s="2" t="s">
        <v>33</v>
      </c>
    </row>
    <row r="9" spans="1:8" x14ac:dyDescent="0.25">
      <c r="A9" s="2" t="str">
        <f>Дано!A15</f>
        <v>14–16</v>
      </c>
      <c r="B9" s="3">
        <f>Дано!D15</f>
        <v>7</v>
      </c>
      <c r="C9" s="2" t="s">
        <v>33</v>
      </c>
    </row>
    <row r="12" spans="1:8" x14ac:dyDescent="0.25">
      <c r="A12" s="5" t="s">
        <v>9</v>
      </c>
      <c r="B12" s="5" t="s">
        <v>10</v>
      </c>
      <c r="C12" s="5" t="s">
        <v>11</v>
      </c>
      <c r="D12" s="5" t="s">
        <v>34</v>
      </c>
      <c r="E12" s="5" t="s">
        <v>25</v>
      </c>
      <c r="F12" s="5" t="s">
        <v>35</v>
      </c>
      <c r="G12" s="5" t="s">
        <v>36</v>
      </c>
      <c r="H12" s="5" t="s">
        <v>37</v>
      </c>
    </row>
    <row r="13" spans="1:8" x14ac:dyDescent="0.25">
      <c r="A13" s="6" t="str">
        <f>Дано!A10</f>
        <v>4–6</v>
      </c>
      <c r="B13" s="7">
        <f>Дано!B10</f>
        <v>4</v>
      </c>
      <c r="C13" s="7">
        <f>Дано!C10</f>
        <v>6</v>
      </c>
      <c r="D13" s="7">
        <f t="shared" ref="D13:D18" si="0">(B13+C13)/2</f>
        <v>5</v>
      </c>
      <c r="E13" s="7">
        <f>Дано!D10</f>
        <v>8</v>
      </c>
      <c r="F13" s="7">
        <f t="shared" ref="F13:F18" si="1">D13*E13</f>
        <v>40</v>
      </c>
      <c r="G13" s="7">
        <f t="shared" ref="G13:G18" si="2">D13^2</f>
        <v>25</v>
      </c>
      <c r="H13" s="7">
        <f t="shared" ref="H13:H18" si="3">E13*G13</f>
        <v>200</v>
      </c>
    </row>
    <row r="14" spans="1:8" x14ac:dyDescent="0.25">
      <c r="A14" s="6" t="str">
        <f>Дано!A11</f>
        <v>6–8</v>
      </c>
      <c r="B14" s="7">
        <f>Дано!B11</f>
        <v>6</v>
      </c>
      <c r="C14" s="7">
        <f>Дано!C11</f>
        <v>8</v>
      </c>
      <c r="D14" s="7">
        <f t="shared" si="0"/>
        <v>7</v>
      </c>
      <c r="E14" s="7">
        <f>Дано!D11</f>
        <v>25</v>
      </c>
      <c r="F14" s="7">
        <f t="shared" si="1"/>
        <v>175</v>
      </c>
      <c r="G14" s="7">
        <f t="shared" si="2"/>
        <v>49</v>
      </c>
      <c r="H14" s="7">
        <f t="shared" si="3"/>
        <v>1225</v>
      </c>
    </row>
    <row r="15" spans="1:8" x14ac:dyDescent="0.25">
      <c r="A15" s="6" t="str">
        <f>Дано!A12</f>
        <v>8–10</v>
      </c>
      <c r="B15" s="7">
        <f>Дано!B12</f>
        <v>8</v>
      </c>
      <c r="C15" s="7">
        <f>Дано!C12</f>
        <v>10</v>
      </c>
      <c r="D15" s="7">
        <f t="shared" si="0"/>
        <v>9</v>
      </c>
      <c r="E15" s="7">
        <f>Дано!D12</f>
        <v>30</v>
      </c>
      <c r="F15" s="7">
        <f t="shared" si="1"/>
        <v>270</v>
      </c>
      <c r="G15" s="7">
        <f t="shared" si="2"/>
        <v>81</v>
      </c>
      <c r="H15" s="7">
        <f t="shared" si="3"/>
        <v>2430</v>
      </c>
    </row>
    <row r="16" spans="1:8" x14ac:dyDescent="0.25">
      <c r="A16" s="6" t="str">
        <f>Дано!A13</f>
        <v>10–12</v>
      </c>
      <c r="B16" s="7">
        <f>Дано!B13</f>
        <v>10</v>
      </c>
      <c r="C16" s="7">
        <f>Дано!C13</f>
        <v>12</v>
      </c>
      <c r="D16" s="7">
        <f t="shared" si="0"/>
        <v>11</v>
      </c>
      <c r="E16" s="7">
        <f>Дано!D13</f>
        <v>20</v>
      </c>
      <c r="F16" s="7">
        <f t="shared" si="1"/>
        <v>220</v>
      </c>
      <c r="G16" s="7">
        <f t="shared" si="2"/>
        <v>121</v>
      </c>
      <c r="H16" s="7">
        <f t="shared" si="3"/>
        <v>2420</v>
      </c>
    </row>
    <row r="17" spans="1:8" x14ac:dyDescent="0.25">
      <c r="A17" s="6" t="str">
        <f>Дано!A14</f>
        <v>12–14</v>
      </c>
      <c r="B17" s="7">
        <f>Дано!B14</f>
        <v>12</v>
      </c>
      <c r="C17" s="7">
        <f>Дано!C14</f>
        <v>14</v>
      </c>
      <c r="D17" s="7">
        <f t="shared" si="0"/>
        <v>13</v>
      </c>
      <c r="E17" s="7">
        <f>Дано!D14</f>
        <v>10</v>
      </c>
      <c r="F17" s="7">
        <f t="shared" si="1"/>
        <v>130</v>
      </c>
      <c r="G17" s="7">
        <f t="shared" si="2"/>
        <v>169</v>
      </c>
      <c r="H17" s="7">
        <f t="shared" si="3"/>
        <v>1690</v>
      </c>
    </row>
    <row r="18" spans="1:8" x14ac:dyDescent="0.25">
      <c r="A18" s="6" t="str">
        <f>Дано!A15</f>
        <v>14–16</v>
      </c>
      <c r="B18" s="7">
        <f>Дано!B15</f>
        <v>14</v>
      </c>
      <c r="C18" s="7">
        <f>Дано!C15</f>
        <v>16</v>
      </c>
      <c r="D18" s="7">
        <f t="shared" si="0"/>
        <v>15</v>
      </c>
      <c r="E18" s="7">
        <f>Дано!D15</f>
        <v>7</v>
      </c>
      <c r="F18" s="7">
        <f t="shared" si="1"/>
        <v>105</v>
      </c>
      <c r="G18" s="7">
        <f t="shared" si="2"/>
        <v>225</v>
      </c>
      <c r="H18" s="7">
        <f t="shared" si="3"/>
        <v>1575</v>
      </c>
    </row>
    <row r="19" spans="1:8" x14ac:dyDescent="0.25">
      <c r="A19" s="6" t="s">
        <v>28</v>
      </c>
      <c r="B19" s="6"/>
      <c r="C19" s="6"/>
      <c r="D19" s="6"/>
      <c r="E19" s="7">
        <f>SUM(E13:E18)</f>
        <v>100</v>
      </c>
      <c r="F19" s="7">
        <f>SUM(F13:F18)</f>
        <v>940</v>
      </c>
      <c r="G19" s="6"/>
      <c r="H19" s="7">
        <f>SUM(H13:H18)</f>
        <v>9540</v>
      </c>
    </row>
    <row r="21" spans="1:8" x14ac:dyDescent="0.25">
      <c r="A21" s="5" t="s">
        <v>38</v>
      </c>
      <c r="B21" s="5" t="s">
        <v>2</v>
      </c>
      <c r="D21" s="10" t="s">
        <v>40</v>
      </c>
      <c r="E21" s="10"/>
      <c r="F21" s="10"/>
      <c r="G21" s="10"/>
      <c r="H21" s="10"/>
    </row>
    <row r="22" spans="1:8" x14ac:dyDescent="0.25">
      <c r="A22" s="6" t="s">
        <v>22</v>
      </c>
      <c r="B22" s="7">
        <f>E19</f>
        <v>100</v>
      </c>
      <c r="D22" s="11" t="s">
        <v>41</v>
      </c>
      <c r="E22" s="11"/>
      <c r="F22" s="11"/>
      <c r="G22" s="11"/>
      <c r="H22" s="11"/>
    </row>
    <row r="23" spans="1:8" x14ac:dyDescent="0.25">
      <c r="A23" s="6" t="s">
        <v>21</v>
      </c>
      <c r="B23" s="7">
        <f>F19/E19</f>
        <v>9.4</v>
      </c>
    </row>
    <row r="24" spans="1:8" x14ac:dyDescent="0.25">
      <c r="A24" s="6" t="s">
        <v>39</v>
      </c>
      <c r="B24" s="7">
        <f>H19/E19-B23^2</f>
        <v>7.039999999999992</v>
      </c>
    </row>
  </sheetData>
  <mergeCells count="3">
    <mergeCell ref="A1:H1"/>
    <mergeCell ref="D21:H21"/>
    <mergeCell ref="D22:H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abSelected="1" workbookViewId="0">
      <selection activeCell="B6" sqref="B6"/>
    </sheetView>
  </sheetViews>
  <sheetFormatPr defaultRowHeight="15" x14ac:dyDescent="0.25"/>
  <cols>
    <col min="1" max="1" width="30.7109375" customWidth="1"/>
    <col min="2" max="2" width="14.7109375" customWidth="1"/>
    <col min="4" max="8" width="16.7109375" customWidth="1"/>
  </cols>
  <sheetData>
    <row r="1" spans="1:8" ht="18.75" x14ac:dyDescent="0.25">
      <c r="A1" s="9" t="s">
        <v>42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43</v>
      </c>
      <c r="B3" s="1" t="s">
        <v>2</v>
      </c>
      <c r="D3" s="10" t="s">
        <v>50</v>
      </c>
      <c r="E3" s="10"/>
      <c r="F3" s="10"/>
      <c r="G3" s="10"/>
      <c r="H3" s="10"/>
    </row>
    <row r="4" spans="1:8" x14ac:dyDescent="0.25">
      <c r="A4" s="2" t="s">
        <v>20</v>
      </c>
      <c r="B4" s="3">
        <f>Дано!G10</f>
        <v>4.5</v>
      </c>
      <c r="D4" s="11" t="s">
        <v>51</v>
      </c>
      <c r="E4" s="11"/>
      <c r="F4" s="11"/>
      <c r="G4" s="11"/>
      <c r="H4" s="11"/>
    </row>
    <row r="5" spans="1:8" x14ac:dyDescent="0.25">
      <c r="A5" s="2" t="s">
        <v>21</v>
      </c>
      <c r="B5" s="3">
        <f>Дано!G11</f>
        <v>15.6</v>
      </c>
      <c r="D5" s="11" t="s">
        <v>52</v>
      </c>
      <c r="E5" s="11"/>
      <c r="F5" s="11"/>
      <c r="G5" s="11"/>
      <c r="H5" s="11"/>
    </row>
    <row r="6" spans="1:8" x14ac:dyDescent="0.25">
      <c r="A6" s="2" t="s">
        <v>22</v>
      </c>
      <c r="B6" s="3">
        <f>Дано!G12</f>
        <v>100</v>
      </c>
      <c r="D6" s="11" t="s">
        <v>53</v>
      </c>
      <c r="E6" s="11"/>
      <c r="F6" s="11"/>
      <c r="G6" s="11"/>
      <c r="H6" s="11"/>
    </row>
    <row r="7" spans="1:8" x14ac:dyDescent="0.25">
      <c r="A7" s="2" t="s">
        <v>23</v>
      </c>
      <c r="B7" s="3">
        <f>Дано!G13</f>
        <v>0.99</v>
      </c>
    </row>
    <row r="10" spans="1:8" x14ac:dyDescent="0.25">
      <c r="A10" s="5" t="s">
        <v>44</v>
      </c>
      <c r="B10" s="5" t="s">
        <v>2</v>
      </c>
    </row>
    <row r="11" spans="1:8" x14ac:dyDescent="0.25">
      <c r="A11" s="6" t="s">
        <v>45</v>
      </c>
      <c r="B11" s="7">
        <v>2.5760000000000001</v>
      </c>
    </row>
    <row r="12" spans="1:8" x14ac:dyDescent="0.25">
      <c r="A12" s="6" t="s">
        <v>46</v>
      </c>
      <c r="B12" s="7">
        <f>B6^0.5</f>
        <v>10</v>
      </c>
    </row>
    <row r="13" spans="1:8" x14ac:dyDescent="0.25">
      <c r="A13" s="6" t="s">
        <v>47</v>
      </c>
      <c r="B13" s="7">
        <f>B11*B4/B12</f>
        <v>1.1592</v>
      </c>
    </row>
    <row r="14" spans="1:8" x14ac:dyDescent="0.25">
      <c r="A14" s="6" t="s">
        <v>48</v>
      </c>
      <c r="B14" s="7">
        <f>B5-B13</f>
        <v>14.440799999999999</v>
      </c>
    </row>
    <row r="15" spans="1:8" x14ac:dyDescent="0.25">
      <c r="A15" s="6" t="s">
        <v>49</v>
      </c>
      <c r="B15" s="7">
        <f>B5+B13</f>
        <v>16.7592</v>
      </c>
    </row>
    <row r="17" spans="1:8" x14ac:dyDescent="0.25">
      <c r="A17" s="12" t="s">
        <v>54</v>
      </c>
      <c r="B17" s="12"/>
      <c r="C17" s="12"/>
      <c r="D17" s="12"/>
      <c r="E17" s="12"/>
      <c r="F17" s="12"/>
      <c r="G17" s="12"/>
      <c r="H17" s="12"/>
    </row>
    <row r="18" spans="1:8" x14ac:dyDescent="0.25">
      <c r="A18" s="13" t="s">
        <v>55</v>
      </c>
      <c r="B18" s="13"/>
      <c r="C18" s="13"/>
      <c r="D18" s="13"/>
      <c r="E18" s="13"/>
      <c r="F18" s="13"/>
      <c r="G18" s="13"/>
      <c r="H18" s="13"/>
    </row>
  </sheetData>
  <mergeCells count="7">
    <mergeCell ref="A17:H17"/>
    <mergeCell ref="A18:H18"/>
    <mergeCell ref="A1:H1"/>
    <mergeCell ref="D3:H3"/>
    <mergeCell ref="D4:H4"/>
    <mergeCell ref="D5:H5"/>
    <mergeCell ref="D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Дано</vt:lpstr>
      <vt:lpstr>Задача 2.3</vt:lpstr>
      <vt:lpstr>Задача 3.2</vt:lpstr>
      <vt:lpstr>Задача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</cp:lastModifiedBy>
  <dcterms:created xsi:type="dcterms:W3CDTF">2026-04-30T12:52:23Z</dcterms:created>
  <dcterms:modified xsi:type="dcterms:W3CDTF">2026-04-30T13:22:30Z</dcterms:modified>
</cp:coreProperties>
</file>